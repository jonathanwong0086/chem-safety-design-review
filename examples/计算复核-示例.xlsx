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校核汇总" sheetId="1" state="visible" r:id="rId1"/>
    <sheet xmlns:r="http://schemas.openxmlformats.org/officeDocument/2006/relationships" name="重大危险源qQ" sheetId="2" state="visible" r:id="rId2"/>
    <sheet xmlns:r="http://schemas.openxmlformats.org/officeDocument/2006/relationships" name="泄压面积" sheetId="3" state="visible" r:id="rId3"/>
    <sheet xmlns:r="http://schemas.openxmlformats.org/officeDocument/2006/relationships" name="物料平衡闭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</font>
    <font>
      <name val="宋体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8" customWidth="1" min="3" max="3"/>
  </cols>
  <sheetData>
    <row r="1">
      <c r="A1" s="1" t="inlineStr">
        <is>
          <t>关键计算自校核汇总（公式联动，改输入自动刷新）</t>
        </is>
      </c>
      <c r="B1" s="1" t="inlineStr"/>
      <c r="C1" s="1" t="inlineStr"/>
    </row>
    <row r="2">
      <c r="A2" s="1" t="inlineStr">
        <is>
          <t>检查项</t>
        </is>
      </c>
      <c r="B2" s="1" t="inlineStr">
        <is>
          <t>关联单元格</t>
        </is>
      </c>
      <c r="C2" s="1" t="inlineStr">
        <is>
          <t>结果 [=公式]</t>
        </is>
      </c>
    </row>
    <row r="3">
      <c r="A3" s="2" t="inlineStr">
        <is>
          <t>重大危险源 q/Q（辨识层 S=Σq/Q）</t>
        </is>
      </c>
      <c r="B3" s="2" t="inlineStr">
        <is>
          <t>重大危险源qQ!E5</t>
        </is>
      </c>
      <c r="C3" s="3">
        <f>'重大危险源qQ'!E5</f>
        <v/>
      </c>
    </row>
    <row r="4">
      <c r="A4" s="2" t="inlineStr">
        <is>
          <t>泄压面积 A=10·C·V^(2/3)</t>
        </is>
      </c>
      <c r="B4" s="2" t="inlineStr">
        <is>
          <t>泄压面积!D2</t>
        </is>
      </c>
      <c r="C4" s="3">
        <f>'泄压面积'!D2</f>
        <v/>
      </c>
    </row>
    <row r="5">
      <c r="A5" s="2" t="inlineStr">
        <is>
          <t>物料平衡闭合（进料-出料）</t>
        </is>
      </c>
      <c r="B5" s="2" t="inlineStr">
        <is>
          <t>物料平衡闭合!B6</t>
        </is>
      </c>
      <c r="C5" s="3">
        <f>'物料平衡闭合'!B6</f>
        <v/>
      </c>
    </row>
    <row r="6">
      <c r="A6" s="2" t="inlineStr">
        <is>
          <t>说明：黄色格为可编辑输入；改后 Excel/LibreOffice 自动重算各判定列。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24" customWidth="1" min="7" max="7"/>
  </cols>
  <sheetData>
    <row r="1">
      <c r="A1" s="1" t="inlineStr">
        <is>
          <t>单元</t>
        </is>
      </c>
      <c r="B1" s="1" t="inlineStr">
        <is>
          <t>物料</t>
        </is>
      </c>
      <c r="C1" s="1" t="inlineStr">
        <is>
          <t>q 最大存在量(t) [输入]</t>
        </is>
      </c>
      <c r="D1" s="1" t="inlineStr">
        <is>
          <t>Q 临界量(t) [输入]</t>
        </is>
      </c>
      <c r="E1" s="1" t="inlineStr">
        <is>
          <t>q/Q [=公式]</t>
        </is>
      </c>
      <c r="F1" s="1" t="inlineStr">
        <is>
          <t>文档q/Q [输入]</t>
        </is>
      </c>
      <c r="G1" s="1" t="inlineStr">
        <is>
          <t>偏差判定 [=公式]</t>
        </is>
      </c>
    </row>
    <row r="2">
      <c r="A2" s="2" t="inlineStr">
        <is>
          <t>A罐组</t>
        </is>
      </c>
      <c r="B2" s="2" t="inlineStr">
        <is>
          <t>示例物料甲(含应急罐必计)</t>
        </is>
      </c>
      <c r="C2" s="4" t="n">
        <v>100</v>
      </c>
      <c r="D2" s="4" t="n">
        <v>20</v>
      </c>
      <c r="E2" s="3">
        <f>IF(D2=0,"",C2/D2)</f>
        <v/>
      </c>
      <c r="F2" s="4" t="n">
        <v>5</v>
      </c>
      <c r="G2" s="3">
        <f>IF(F2="","—",IF(ABS(E2-F2)&lt;=0.01,"一致","★偏差"))</f>
        <v/>
      </c>
    </row>
    <row r="3">
      <c r="A3" s="2" t="inlineStr">
        <is>
          <t>A罐组</t>
        </is>
      </c>
      <c r="B3" s="2" t="inlineStr">
        <is>
          <t>示例物料乙</t>
        </is>
      </c>
      <c r="C3" s="4" t="n">
        <v>30</v>
      </c>
      <c r="D3" s="4" t="n">
        <v>500</v>
      </c>
      <c r="E3" s="3">
        <f>IF(D3=0,"",C3/D3)</f>
        <v/>
      </c>
      <c r="F3" s="4" t="n">
        <v>0.06</v>
      </c>
      <c r="G3" s="3">
        <f>IF(F3="","—",IF(ABS(E3-F3)&lt;=0.01,"一致","★偏差"))</f>
        <v/>
      </c>
    </row>
    <row r="4">
      <c r="A4" s="2" t="inlineStr">
        <is>
          <t>B车间</t>
        </is>
      </c>
      <c r="B4" s="2" t="inlineStr">
        <is>
          <t>示例中间体</t>
        </is>
      </c>
      <c r="C4" s="4" t="n">
        <v>5</v>
      </c>
      <c r="D4" s="4" t="n">
        <v>1000</v>
      </c>
      <c r="E4" s="3">
        <f>IF(D4=0,"",C4/D4)</f>
        <v/>
      </c>
      <c r="F4" s="4" t="n">
        <v>0.005</v>
      </c>
      <c r="G4" s="3">
        <f>IF(F4="","—",IF(ABS(E4-F4)&lt;=0.01,"一致","★偏差"))</f>
        <v/>
      </c>
    </row>
    <row r="5">
      <c r="A5" s="2" t="inlineStr">
        <is>
          <t>Σq/Q（全表合计）</t>
        </is>
      </c>
      <c r="E5" s="3">
        <f>SUM(E2:E4)</f>
        <v/>
      </c>
      <c r="G5" s="3">
        <f>IF(E5&gt;=1,"构成重大危险源(S&gt;=1)","不构成(S&lt;1)")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区域</t>
        </is>
      </c>
      <c r="B1" s="1" t="inlineStr">
        <is>
          <t>体积V(m³) [输入]</t>
        </is>
      </c>
      <c r="C1" s="1" t="inlineStr">
        <is>
          <t>泄压比C [输入]</t>
        </is>
      </c>
      <c r="D1" s="1" t="inlineStr">
        <is>
          <t>A计算(m²) [=公式]</t>
        </is>
      </c>
      <c r="E1" s="1" t="inlineStr">
        <is>
          <t>A文档(m²) [输入]</t>
        </is>
      </c>
      <c r="F1" s="1" t="inlineStr">
        <is>
          <t>判定 [=公式]</t>
        </is>
      </c>
    </row>
    <row r="2">
      <c r="A2" s="2" t="inlineStr">
        <is>
          <t>B车间一层示例间</t>
        </is>
      </c>
      <c r="B2" s="4" t="n">
        <v>3000</v>
      </c>
      <c r="C2" s="4" t="n">
        <v>0.11</v>
      </c>
      <c r="D2" s="3">
        <f>10*C2*B2^(2/3)</f>
        <v/>
      </c>
      <c r="E2" s="4" t="n">
        <v>34.3</v>
      </c>
      <c r="F2" s="3">
        <f>IF(E2="","—",IF(ABS(D2-E2)/D2&lt;=0.05,"一致","★不符"))</f>
        <v/>
      </c>
    </row>
    <row r="3">
      <c r="A3" s="2" t="inlineStr">
        <is>
          <t>示例仓库区</t>
        </is>
      </c>
      <c r="B3" s="4" t="n">
        <v>1500</v>
      </c>
      <c r="C3" s="4" t="n">
        <v>0.11</v>
      </c>
      <c r="D3" s="3">
        <f>10*C3*B3^(2/3)</f>
        <v/>
      </c>
      <c r="E3" s="4" t="n">
        <v>145</v>
      </c>
      <c r="F3" s="3">
        <f>IF(E3="","—",IF(ABS(D3-E3)/D3&lt;=0.05,"一致","★不符"))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</cols>
  <sheetData>
    <row r="1">
      <c r="A1" s="1" t="inlineStr">
        <is>
          <t>示例溶剂回收 物料平衡闭合复核</t>
        </is>
      </c>
      <c r="B1" s="1" t="n"/>
      <c r="C1" s="1" t="n"/>
      <c r="D1" s="1" t="n"/>
    </row>
    <row r="2">
      <c r="A2" s="1" t="inlineStr">
        <is>
          <t>进料物料</t>
        </is>
      </c>
      <c r="B2" s="1" t="inlineStr">
        <is>
          <t>量(t/批) [输入]</t>
        </is>
      </c>
      <c r="C2" s="1" t="inlineStr">
        <is>
          <t>出料物料</t>
        </is>
      </c>
      <c r="D2" s="1" t="inlineStr">
        <is>
          <t>量(t/批) [输入]</t>
        </is>
      </c>
    </row>
    <row r="3">
      <c r="A3" s="2" t="inlineStr">
        <is>
          <t>示例进料相</t>
        </is>
      </c>
      <c r="B3" s="4" t="n">
        <v>2000</v>
      </c>
      <c r="C3" s="2" t="inlineStr">
        <is>
          <t>示例回收物</t>
        </is>
      </c>
      <c r="D3" s="4" t="n">
        <v>500</v>
      </c>
    </row>
    <row r="4">
      <c r="A4" s="2" t="inlineStr">
        <is>
          <t>示例辅料</t>
        </is>
      </c>
      <c r="B4" s="4" t="n">
        <v>800</v>
      </c>
      <c r="C4" s="2" t="inlineStr">
        <is>
          <t>示例废水</t>
        </is>
      </c>
      <c r="D4" s="4" t="n">
        <v>2300</v>
      </c>
    </row>
    <row r="5">
      <c r="A5" s="2" t="inlineStr">
        <is>
          <t>进料合计</t>
        </is>
      </c>
      <c r="B5" s="3">
        <f>SUM(B3:B4)</f>
        <v/>
      </c>
      <c r="C5" s="2" t="inlineStr">
        <is>
          <t>出料合计</t>
        </is>
      </c>
      <c r="D5" s="3">
        <f>SUM(D3:D4)</f>
        <v/>
      </c>
    </row>
    <row r="6">
      <c r="A6" s="2" t="inlineStr">
        <is>
          <t>闭合差 = 进料 - 出料</t>
        </is>
      </c>
      <c r="B6" s="3">
        <f>B5-D5</f>
        <v/>
      </c>
      <c r="C6" s="2" t="inlineStr">
        <is>
          <t>判定</t>
        </is>
      </c>
      <c r="D6" s="3">
        <f>IF(ABS(B6)&lt;=0.01*B5,"闭合","★不平")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2026-09-02T07:38:53Z</dcterms:created>
  <dcterms:modified xmlns:dcterms="http://purl.org/dc/terms/" xmlns:xsi="http://www.w3.org/2001/XMLSchema-instance" xsi:type="dcterms:W3CDTF">2026-09-02T07:38:53Z</dcterms:modified>
</cp:coreProperties>
</file>